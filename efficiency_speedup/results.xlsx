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ria\term_8\concurrency\HW2\efficiency_speedup\"/>
    </mc:Choice>
  </mc:AlternateContent>
  <bookViews>
    <workbookView xWindow="0" yWindow="0" windowWidth="28800" windowHeight="12312"/>
  </bookViews>
  <sheets>
    <sheet name="results" sheetId="1" r:id="rId1"/>
  </sheets>
  <calcPr calcId="162913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  <c r="H9" i="1"/>
  <c r="H8" i="1"/>
  <c r="H7" i="1"/>
  <c r="H6" i="1"/>
  <c r="H5" i="1"/>
  <c r="H4" i="1"/>
  <c r="H3" i="1"/>
  <c r="G9" i="1" l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<sst xmlns="http://schemas.openxmlformats.org/spreadsheetml/2006/main" count="17" uniqueCount="9">
  <si>
    <t>Processes</t>
  </si>
  <si>
    <t>Slices</t>
  </si>
  <si>
    <t>Total Points</t>
  </si>
  <si>
    <t>Total Area</t>
  </si>
  <si>
    <t>1- COS(b)</t>
  </si>
  <si>
    <t>Elapsed Time (us)</t>
  </si>
  <si>
    <t>Error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</si>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</sst>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results!$E$15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results!$D$16:$D$23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results!$E$16:$E$23</c:f>
              <c:numCache>
                <c:formatCode>General</c:formatCode>
                <c:ptCount val="8"/>
                <c:pt idx="0">
                  <c:v>1.4257000000017506E-5</c:v>
                </c:pt>
                <c:pt idx="1">
                  <c:v>4.2570000000630159E-6</c:v>
                </c:pt>
                <c:pt idx="2">
                  <c:v>3.7429999999449848E-6</c:v>
                </c:pt>
                <c:pt idx="3">
                  <c:v>1.725699999999275E-5</c:v>
                </c:pt>
                <c:pt idx="4">
                  <c:v>7.4299999996974009E-7</c:v>
                </c:pt>
                <c:pt idx="5">
                  <c:v>1.2569999999767489E-6</c:v>
                </c:pt>
                <c:pt idx="6">
                  <c:v>2.2570000000055046E-6</c:v>
                </c:pt>
                <c:pt idx="7">
                  <c:v>4.2570000000630159E-6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F-44C5-B0EF-BEB03B39C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972463"/>
        <c:axId val="1859972879"/>
      </c:scatterChart>
      <c:valAx>
        <c:axId val="1859972463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72879"/>
        <c:crosses val="autoZero"/>
        <c:crossBetween val="midCat"/>
      </c:valAx>
      <c:valAx>
        <c:axId val="185997287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72463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results!$E$30</c:f>
              <c:strCache>
                <c:ptCount val="1"/>
                <c:pt idx="0">
                  <c:v>Elapsed Time (us)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results!$D$31:$D$38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results!$E$31:$E$38</c:f>
              <c:numCache>
                <c:formatCode>General</c:formatCode>
                <c:ptCount val="8"/>
                <c:pt idx="0">
                  <c:v>160000000</c:v>
                </c:pt>
                <c:pt idx="1">
                  <c:v>86000000</c:v>
                </c:pt>
                <c:pt idx="2">
                  <c:v>104000000</c:v>
                </c:pt>
                <c:pt idx="3">
                  <c:v>64000000</c:v>
                </c:pt>
                <c:pt idx="4">
                  <c:v>48000000</c:v>
                </c:pt>
                <c:pt idx="5">
                  <c:v>54000000</c:v>
                </c:pt>
                <c:pt idx="6">
                  <c:v>54000000</c:v>
                </c:pt>
                <c:pt idx="7">
                  <c:v>64000000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E1-4B53-A541-6400B1ED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349263"/>
        <c:axId val="2131358831"/>
      </c:scatterChart>
      <c:valAx>
        <c:axId val="2131349263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58831"/>
        <c:crosses val="autoZero"/>
        <c:crossBetween val="midCat"/>
      </c:valAx>
      <c:valAx>
        <c:axId val="21313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Elapsed Time (us)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49263"/>
        <c:crosses val="autoZero"/>
        <c:crossBetween val="midCat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results!$Q$13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results!$P$14:$P$21</c:f>
              <c:numCache>
                <c:formatCode>General</c:formatCode>
                <c:ptCount val="8"/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results!$Q$14:$Q$21</c:f>
              <c:numCache>
                <c:formatCode>General</c:formatCode>
                <c:ptCount val="8"/>
                <c:pt idx="1">
                  <c:v>1.8604651162790697</c:v>
                </c:pt>
                <c:pt idx="2">
                  <c:v>1.5384615384615385</c:v>
                </c:pt>
                <c:pt idx="3">
                  <c:v>2.5</c:v>
                </c:pt>
                <c:pt idx="4">
                  <c:v>3.3333333333333335</c:v>
                </c:pt>
                <c:pt idx="5">
                  <c:v>2.9629629629629628</c:v>
                </c:pt>
                <c:pt idx="6">
                  <c:v>2.9629629629629628</c:v>
                </c:pt>
                <c:pt idx="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76-453C-A84F-FB07D2791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282255"/>
        <c:axId val="1098284335"/>
      </c:scatterChart>
      <c:valAx>
        <c:axId val="1098282255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84335"/>
        <c:crosses val="autoZero"/>
        <c:crossBetween val="midCat"/>
      </c:valAx>
      <c:valAx>
        <c:axId val="10982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8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results!$Q$40</c:f>
              <c:strCache>
                <c:ptCount val="1"/>
                <c:pt idx="0">
                  <c:v>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results!$P$41:$P$48</c:f>
              <c:numCache>
                <c:formatCode>General</c:formatCode>
                <c:ptCount val="8"/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results!$Q$41:$Q$48</c:f>
              <c:numCache>
                <c:formatCode>General</c:formatCode>
                <c:ptCount val="8"/>
                <c:pt idx="1">
                  <c:v>0.93023255813953487</c:v>
                </c:pt>
                <c:pt idx="2">
                  <c:v>0.38461538461538464</c:v>
                </c:pt>
                <c:pt idx="3">
                  <c:v>0.3125</c:v>
                </c:pt>
                <c:pt idx="4">
                  <c:v>0.20833333333333334</c:v>
                </c:pt>
                <c:pt idx="5">
                  <c:v>9.2592592592592587E-2</c:v>
                </c:pt>
                <c:pt idx="6">
                  <c:v>4.6296296296296294E-2</c:v>
                </c:pt>
                <c:pt idx="7">
                  <c:v>1.953125E-2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B-4AD9-8334-8AF261566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429023"/>
        <c:axId val="1350439007"/>
      </c:scatterChart>
      <c:valAx>
        <c:axId val="1350429023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39007"/>
        <c:crosses val="autoZero"/>
        <c:crossBetween val="midCat"/>
      </c:valAx>
      <c:valAx>
        <c:axId val="13504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2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10</xdr:row>
      <xdr:rowOff>163830</xdr:rowOff>
    </xdr:from>
    <xdr:to>
      <xdr:col>12</xdr:col>
      <xdr:colOff>243840</xdr:colOff>
      <xdr:row>25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403860</xdr:colOff>
      <xdr:row>26</xdr:row>
      <xdr:rowOff>163830</xdr:rowOff>
    </xdr:from>
    <xdr:to>
      <xdr:col>12</xdr:col>
      <xdr:colOff>563880</xdr:colOff>
      <xdr:row>41</xdr:row>
      <xdr:rowOff>163830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21</xdr:row>
      <xdr:rowOff>133350</xdr:rowOff>
    </xdr:from>
    <xdr:to>
      <xdr:col>21</xdr:col>
      <xdr:colOff>175260</xdr:colOff>
      <xdr:row>36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518160</xdr:colOff>
      <xdr:row>37</xdr:row>
      <xdr:rowOff>118110</xdr:rowOff>
    </xdr:from>
    <xdr:to>
      <xdr:col>15</xdr:col>
      <xdr:colOff>213360</xdr:colOff>
      <xdr:row>52</xdr:row>
      <xdr:rowOff>118110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A16" workbookViewId="0">
      <selection activeCell="P56" sqref="P56"/>
    </sheetView>
  </sheetViews>
  <sheetFormatPr defaultRowHeight="14.4" x14ac:dyDescent="0.3"/>
  <cols>
    <col min="7" max="7" width="11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  <row r="2" spans="1:17" x14ac:dyDescent="0.3">
      <c r="A2">
        <v>1</v>
      </c>
      <c r="B2">
        <v>330</v>
      </c>
      <c r="C2">
        <v>10000000</v>
      </c>
      <c r="D2">
        <v>0.62200800000000001</v>
      </c>
      <c r="E2">
        <v>160000000</v>
      </c>
      <c r="F2">
        <v>0.62202225700000002</v>
      </c>
      <c r="G2">
        <f t="shared" ref="G2:G9" si="0">ABS(D2-F2)</f>
        <v>1.4257000000017506E-5</v>
      </c>
    </row>
    <row r="3" spans="1:17" x14ac:dyDescent="0.3">
      <c r="A3">
        <v>2</v>
      </c>
      <c r="B3">
        <v>330</v>
      </c>
      <c r="C3">
        <v>10000000</v>
      </c>
      <c r="D3">
        <v>0.62201799999999996</v>
      </c>
      <c r="E3">
        <v>86000000</v>
      </c>
      <c r="F3">
        <v>0.62202225700000002</v>
      </c>
      <c r="G3">
        <f t="shared" si="0"/>
        <v>4.2570000000630159E-6</v>
      </c>
      <c r="H3" s="1">
        <f>E2/E3</f>
        <v>1.8604651162790697</v>
      </c>
      <c r="I3">
        <f>H3/2</f>
        <v>0.93023255813953487</v>
      </c>
    </row>
    <row r="4" spans="1:17" x14ac:dyDescent="0.3">
      <c r="A4">
        <v>4</v>
      </c>
      <c r="B4">
        <v>330</v>
      </c>
      <c r="C4">
        <v>10000000</v>
      </c>
      <c r="D4">
        <v>0.62202599999999997</v>
      </c>
      <c r="E4">
        <v>104000000</v>
      </c>
      <c r="F4">
        <v>0.62202225700000002</v>
      </c>
      <c r="G4">
        <f t="shared" si="0"/>
        <v>3.7429999999449848E-6</v>
      </c>
      <c r="H4">
        <f>E2/E4</f>
        <v>1.5384615384615385</v>
      </c>
      <c r="I4">
        <f>H4/4</f>
        <v>0.38461538461538464</v>
      </c>
    </row>
    <row r="5" spans="1:17" x14ac:dyDescent="0.3">
      <c r="A5">
        <v>8</v>
      </c>
      <c r="B5">
        <v>330</v>
      </c>
      <c r="C5">
        <v>10000000</v>
      </c>
      <c r="D5">
        <v>0.62200500000000003</v>
      </c>
      <c r="E5">
        <v>64000000</v>
      </c>
      <c r="F5">
        <v>0.62202225700000002</v>
      </c>
      <c r="G5">
        <f t="shared" si="0"/>
        <v>1.725699999999275E-5</v>
      </c>
      <c r="H5">
        <f>E2/E5</f>
        <v>2.5</v>
      </c>
      <c r="I5">
        <f>H5/8</f>
        <v>0.3125</v>
      </c>
    </row>
    <row r="6" spans="1:17" x14ac:dyDescent="0.3">
      <c r="A6">
        <v>16</v>
      </c>
      <c r="B6">
        <v>330</v>
      </c>
      <c r="C6">
        <v>10000000</v>
      </c>
      <c r="D6">
        <v>0.62202299999999999</v>
      </c>
      <c r="E6">
        <v>48000000</v>
      </c>
      <c r="F6">
        <v>0.62202225700000002</v>
      </c>
      <c r="G6">
        <f t="shared" si="0"/>
        <v>7.4299999996974009E-7</v>
      </c>
      <c r="H6">
        <f>E2/E6</f>
        <v>3.3333333333333335</v>
      </c>
      <c r="I6">
        <f>H6/16</f>
        <v>0.20833333333333334</v>
      </c>
    </row>
    <row r="7" spans="1:17" x14ac:dyDescent="0.3">
      <c r="A7">
        <v>32</v>
      </c>
      <c r="B7">
        <v>330</v>
      </c>
      <c r="C7">
        <v>10000000</v>
      </c>
      <c r="D7">
        <v>0.62202100000000005</v>
      </c>
      <c r="E7">
        <v>54000000</v>
      </c>
      <c r="F7">
        <v>0.62202225700000002</v>
      </c>
      <c r="G7">
        <f t="shared" si="0"/>
        <v>1.2569999999767489E-6</v>
      </c>
      <c r="H7">
        <f>E2/E7</f>
        <v>2.9629629629629628</v>
      </c>
      <c r="I7">
        <f>H7/32</f>
        <v>9.2592592592592587E-2</v>
      </c>
    </row>
    <row r="8" spans="1:17" x14ac:dyDescent="0.3">
      <c r="A8">
        <v>64</v>
      </c>
      <c r="B8">
        <v>330</v>
      </c>
      <c r="C8">
        <v>10000000</v>
      </c>
      <c r="D8">
        <v>0.62202000000000002</v>
      </c>
      <c r="E8">
        <v>54000000</v>
      </c>
      <c r="F8">
        <v>0.62202225700000002</v>
      </c>
      <c r="G8">
        <f t="shared" si="0"/>
        <v>2.2570000000055046E-6</v>
      </c>
      <c r="H8">
        <f>E2/E8</f>
        <v>2.9629629629629628</v>
      </c>
      <c r="I8">
        <f>H8/64</f>
        <v>4.6296296296296294E-2</v>
      </c>
    </row>
    <row r="9" spans="1:17" x14ac:dyDescent="0.3">
      <c r="A9">
        <v>128</v>
      </c>
      <c r="B9">
        <v>330</v>
      </c>
      <c r="C9">
        <v>10000000</v>
      </c>
      <c r="D9">
        <v>0.62201799999999996</v>
      </c>
      <c r="E9">
        <v>64000000</v>
      </c>
      <c r="F9">
        <v>0.62202225700000002</v>
      </c>
      <c r="G9">
        <f t="shared" si="0"/>
        <v>4.2570000000630159E-6</v>
      </c>
      <c r="H9">
        <f>E2/E9</f>
        <v>2.5</v>
      </c>
      <c r="I9">
        <f>H9/128</f>
        <v>1.953125E-2</v>
      </c>
    </row>
    <row r="13" spans="1:17" x14ac:dyDescent="0.3">
      <c r="P13" t="s">
        <v>0</v>
      </c>
      <c r="Q13" t="s">
        <v>7</v>
      </c>
    </row>
    <row r="15" spans="1:17" x14ac:dyDescent="0.3">
      <c r="D15" t="s">
        <v>0</v>
      </c>
      <c r="E15" t="s">
        <v>6</v>
      </c>
      <c r="P15">
        <v>2</v>
      </c>
      <c r="Q15">
        <v>1.8604651162790697</v>
      </c>
    </row>
    <row r="16" spans="1:17" x14ac:dyDescent="0.3">
      <c r="D16">
        <v>1</v>
      </c>
      <c r="E16">
        <v>1.4257000000017506E-5</v>
      </c>
      <c r="P16">
        <v>4</v>
      </c>
      <c r="Q16">
        <v>1.5384615384615385</v>
      </c>
    </row>
    <row r="17" spans="4:17" x14ac:dyDescent="0.3">
      <c r="D17">
        <v>2</v>
      </c>
      <c r="E17">
        <v>4.2570000000630159E-6</v>
      </c>
      <c r="P17">
        <v>8</v>
      </c>
      <c r="Q17">
        <v>2.5</v>
      </c>
    </row>
    <row r="18" spans="4:17" x14ac:dyDescent="0.3">
      <c r="D18">
        <v>4</v>
      </c>
      <c r="E18">
        <v>3.7429999999449848E-6</v>
      </c>
      <c r="P18">
        <v>16</v>
      </c>
      <c r="Q18">
        <v>3.3333333333333335</v>
      </c>
    </row>
    <row r="19" spans="4:17" x14ac:dyDescent="0.3">
      <c r="D19">
        <v>8</v>
      </c>
      <c r="E19">
        <v>1.725699999999275E-5</v>
      </c>
      <c r="P19">
        <v>32</v>
      </c>
      <c r="Q19">
        <v>2.9629629629629628</v>
      </c>
    </row>
    <row r="20" spans="4:17" x14ac:dyDescent="0.3">
      <c r="D20">
        <v>16</v>
      </c>
      <c r="E20">
        <v>7.4299999996974009E-7</v>
      </c>
      <c r="P20">
        <v>64</v>
      </c>
      <c r="Q20">
        <v>2.9629629629629628</v>
      </c>
    </row>
    <row r="21" spans="4:17" x14ac:dyDescent="0.3">
      <c r="D21">
        <v>32</v>
      </c>
      <c r="E21">
        <v>1.2569999999767489E-6</v>
      </c>
      <c r="P21">
        <v>128</v>
      </c>
      <c r="Q21">
        <v>2.5</v>
      </c>
    </row>
    <row r="22" spans="4:17" x14ac:dyDescent="0.3">
      <c r="D22">
        <v>64</v>
      </c>
      <c r="E22">
        <v>2.2570000000055046E-6</v>
      </c>
    </row>
    <row r="23" spans="4:17" x14ac:dyDescent="0.3">
      <c r="D23">
        <v>128</v>
      </c>
      <c r="E23">
        <v>4.2570000000630159E-6</v>
      </c>
    </row>
    <row r="30" spans="4:17" x14ac:dyDescent="0.3">
      <c r="D30" t="s">
        <v>0</v>
      </c>
      <c r="E30" t="s">
        <v>5</v>
      </c>
    </row>
    <row r="31" spans="4:17" x14ac:dyDescent="0.3">
      <c r="D31">
        <v>1</v>
      </c>
      <c r="E31">
        <v>160000000</v>
      </c>
    </row>
    <row r="32" spans="4:17" x14ac:dyDescent="0.3">
      <c r="D32">
        <v>2</v>
      </c>
      <c r="E32">
        <v>86000000</v>
      </c>
    </row>
    <row r="33" spans="4:17" x14ac:dyDescent="0.3">
      <c r="D33">
        <v>4</v>
      </c>
      <c r="E33">
        <v>104000000</v>
      </c>
    </row>
    <row r="34" spans="4:17" x14ac:dyDescent="0.3">
      <c r="D34">
        <v>8</v>
      </c>
      <c r="E34">
        <v>64000000</v>
      </c>
    </row>
    <row r="35" spans="4:17" x14ac:dyDescent="0.3">
      <c r="D35">
        <v>16</v>
      </c>
      <c r="E35">
        <v>48000000</v>
      </c>
    </row>
    <row r="36" spans="4:17" x14ac:dyDescent="0.3">
      <c r="D36">
        <v>32</v>
      </c>
      <c r="E36">
        <v>54000000</v>
      </c>
    </row>
    <row r="37" spans="4:17" x14ac:dyDescent="0.3">
      <c r="D37">
        <v>64</v>
      </c>
      <c r="E37">
        <v>54000000</v>
      </c>
    </row>
    <row r="38" spans="4:17" x14ac:dyDescent="0.3">
      <c r="D38">
        <v>128</v>
      </c>
      <c r="E38">
        <v>64000000</v>
      </c>
    </row>
    <row r="40" spans="4:17" x14ac:dyDescent="0.3">
      <c r="P40" t="s">
        <v>0</v>
      </c>
      <c r="Q40" t="s">
        <v>8</v>
      </c>
    </row>
    <row r="42" spans="4:17" x14ac:dyDescent="0.3">
      <c r="P42">
        <v>2</v>
      </c>
      <c r="Q42">
        <v>0.93023255813953487</v>
      </c>
    </row>
    <row r="43" spans="4:17" x14ac:dyDescent="0.3">
      <c r="P43">
        <v>4</v>
      </c>
      <c r="Q43">
        <v>0.38461538461538464</v>
      </c>
    </row>
    <row r="44" spans="4:17" x14ac:dyDescent="0.3">
      <c r="P44">
        <v>8</v>
      </c>
      <c r="Q44">
        <v>0.3125</v>
      </c>
    </row>
    <row r="45" spans="4:17" x14ac:dyDescent="0.3">
      <c r="P45">
        <v>16</v>
      </c>
      <c r="Q45">
        <v>0.20833333333333334</v>
      </c>
    </row>
    <row r="46" spans="4:17" x14ac:dyDescent="0.3">
      <c r="P46">
        <v>32</v>
      </c>
      <c r="Q46">
        <v>9.2592592592592587E-2</v>
      </c>
    </row>
    <row r="47" spans="4:17" x14ac:dyDescent="0.3">
      <c r="P47">
        <v>64</v>
      </c>
      <c r="Q47">
        <v>4.6296296296296294E-2</v>
      </c>
    </row>
    <row r="48" spans="4:17" x14ac:dyDescent="0.3">
      <c r="P48">
        <v>128</v>
      </c>
      <c r="Q48">
        <v>1.953125E-2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2026-06-03T11:27:35Z</dcterms:created>
  <dcterms:modified xsi:type="dcterms:W3CDTF">2026-06-03T09:50:59Z</dcterms:modified>
</cp:coreProperties>
</file>